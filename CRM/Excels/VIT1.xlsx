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İbrahim\Desktop\Python_Modul_Week_4-main\Python_Modul_Week_4-main\CRM\Excels\"/>
    </mc:Choice>
  </mc:AlternateContent>
  <xr:revisionPtr revIDLastSave="0" documentId="13_ncr:1_{D6773777-6A21-48A6-B042-7033FD318B55}" xr6:coauthVersionLast="47" xr6:coauthVersionMax="47" xr10:uidLastSave="{00000000-0000-0000-0000-000000000000}"/>
  <bookViews>
    <workbookView xWindow="28680" yWindow="630" windowWidth="29040" windowHeight="15720" xr2:uid="{00000000-000D-0000-FFFF-FFFF00000000}"/>
  </bookViews>
  <sheets>
    <sheet name="Sayfa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3" i="1"/>
  <c r="D2" i="1"/>
</calcChain>
</file>

<file path=xl/sharedStrings.xml><?xml version="1.0" encoding="utf-8"?>
<sst xmlns="http://schemas.openxmlformats.org/spreadsheetml/2006/main" count="198" uniqueCount="92">
  <si>
    <t>Zaman damgası</t>
  </si>
  <si>
    <t>Adınız Soyadınız</t>
  </si>
  <si>
    <t>Mail adresiniz</t>
  </si>
  <si>
    <t>Telefon Numaranız</t>
  </si>
  <si>
    <t>Posta Kodunuz</t>
  </si>
  <si>
    <t>Yaşadığınız Eyalet</t>
  </si>
  <si>
    <t>Şu anki durumunuz</t>
  </si>
  <si>
    <t>Yakın zamanda başlayacak ITPH Cybersecurity veya Powerplatform Eğitimlerine Katılmak istemisiniz</t>
  </si>
  <si>
    <t>Ekonomik Durumunuz</t>
  </si>
  <si>
    <t>Şu anda bir dil kursuna devam ediyor musunuz?</t>
  </si>
  <si>
    <t>Yabancı dil Seviyeniz [İngilizce]</t>
  </si>
  <si>
    <t>Yabancı dil Seviyeniz [Hollandaca]</t>
  </si>
  <si>
    <t>Belediyenizden çalışma ile ilgili baskı görüyor musunuz?</t>
  </si>
  <si>
    <t>Başka bir IT kursu (Bootcamp) bitirdiniz mi?</t>
  </si>
  <si>
    <t>İnternetten herhangi bir IT kursu takip ettiniz mi (Coursera, Udemy gibi)</t>
  </si>
  <si>
    <t>Daha önce herhangi bir IT iş tecrübeniz var mı?</t>
  </si>
  <si>
    <t>Şu anda herhangi bir projeye dahil misiniz? (Öğretmenlik projesi veya Leerwerktraject v.s)</t>
  </si>
  <si>
    <t>IT sektöründe hangi bölüm veya bölümlerde çalışmak istiyorsunuz ,bir den fazla seçenek seçebilirsiniz</t>
  </si>
  <si>
    <t>Neden VIT projesine katılmak istiyorsunuz?birden fazla seçenek işaretleyebilirsiniz</t>
  </si>
  <si>
    <t>Aşağıya bu projeye katılmak veya IT sektöründe kariyer yapmak için sizi harekete geçiren motivasyondan bahseder misiniz?</t>
  </si>
  <si>
    <t>Mentor gorusmesi</t>
  </si>
  <si>
    <t>Basvuru Donemi</t>
  </si>
  <si>
    <t>Yesil Tık Olan</t>
  </si>
  <si>
    <t>4.29.2023 13:55:18</t>
  </si>
  <si>
    <t>ahmet selim</t>
  </si>
  <si>
    <t>yldrm@gmail.com</t>
  </si>
  <si>
    <t>6861BW</t>
  </si>
  <si>
    <t>Noord-Holland</t>
  </si>
  <si>
    <t>Eve geçtim (dil çalışıyorum ve/veya iş arıyorum ve/veya çalışıyorum)</t>
  </si>
  <si>
    <t>Tester</t>
  </si>
  <si>
    <t>Uitkering Alıyorum</t>
  </si>
  <si>
    <t>Evet</t>
  </si>
  <si>
    <t>B1</t>
  </si>
  <si>
    <t>Kısmen</t>
  </si>
  <si>
    <t>Hayır</t>
  </si>
  <si>
    <t>Tester, Web Tasarım, Software Developer, Data Engineer, Cyber Security</t>
  </si>
  <si>
    <t>Teknik bir iş olduğu için daha az dil gereksinimi olduğunu düşündünüyorum, Bu sektörde çok fazla eleman ihtiyacı olduğu için, IT ile ilgili eğitimim veya iş tecrübem olduğu için, İngilizce çalışabilme imkanı olduğu için, Bu mesleği yapabileceğime inanıyorum</t>
  </si>
  <si>
    <t>Ben Bilgisayar ogretmeniydim. Ve it alanında devam etmek istiyorum. Bir çok arkadaşım bu alanda kurs alıp kısa sürede iş buldular. Bu imkanlar beni motive ediyor</t>
  </si>
  <si>
    <t>OK</t>
  </si>
  <si>
    <t>VIT3</t>
  </si>
  <si>
    <t>DONE</t>
  </si>
  <si>
    <t>4.29.2023 21:44:05</t>
  </si>
  <si>
    <t>mehmet kirmizi</t>
  </si>
  <si>
    <t>meztr@gmail.com</t>
  </si>
  <si>
    <t>9713VH</t>
  </si>
  <si>
    <t>İngilizce eğitimine ihtiyacım var.</t>
  </si>
  <si>
    <t>A2</t>
  </si>
  <si>
    <t>Bir yillik sure zarfinda calismaya baslamam bekleniyor.</t>
  </si>
  <si>
    <t>Data Engineer, Datascience alaninda calismak istiyorum.</t>
  </si>
  <si>
    <t>Bu sektörde çok fazla eleman ihtiyacı olduğu için, İngilizce çalışabilme imkanı olduğu için, Bu mesleği yapabileceğime inanıyorum, Bu alana ilgim ve istegim var.</t>
  </si>
  <si>
    <t>Teknoloji ve bilimdeki yeniliklere karsi yuksek ilgim var. Fen bilgisi ogretmenliginden mezun oldum. Sayisal alandan mezun oldugum icin bu alanin bana uygun oldugunu dusunuyorum. Gelecegin sekillenmesinde IT sektorunun cok buyuk etkisi olacagini biliyorum. Calisma sartlari da benim icin uygun oldugu icin bu alanda ilerlemek istiyorum. Bu alanda sizinle buyuk yol katedecegime eminim.</t>
  </si>
  <si>
    <t>4.29.2023 23:39:58</t>
  </si>
  <si>
    <t>yasin kaya</t>
  </si>
  <si>
    <t>bugdayci2@gmail.com</t>
  </si>
  <si>
    <t>9716bs</t>
  </si>
  <si>
    <t>Noord-Brabant</t>
  </si>
  <si>
    <t>Cybersecurity eğitimine katılmak istiyorum</t>
  </si>
  <si>
    <t>A1</t>
  </si>
  <si>
    <t>Pyton aldim 2019da ama buyuk oranda unuttum</t>
  </si>
  <si>
    <t>Tester, Web Tasarım, Cyber Security</t>
  </si>
  <si>
    <t>Çevremde bir çok kişi bu sektöre girdiği için, Kararsızım ama bir eğitim alıp yapıp yapamayacağımı görmek istiyorum?, Bu sektördeki maaşların iyi olduğunu düşünüyorum, Bu sektörde çok fazla eleman ihtiyacı olduğu için, Kendi mesleğini yapma imkanım olmadığını düşündüğüm için, Bu mesleği yapabileceğime inanıyorum</t>
  </si>
  <si>
    <t>It alanı hep cekici gelmistir. Yuksek maas almak ve bilgisayarda ugrasmak avrupada yazilimci olmak kulaga hos geliyor:)</t>
  </si>
  <si>
    <t>4.30.2023 12:19:21</t>
  </si>
  <si>
    <t>zeynep yilmaz</t>
  </si>
  <si>
    <t>karaman@gmail.com</t>
  </si>
  <si>
    <t>3232Bd</t>
  </si>
  <si>
    <t>Cyber Security</t>
  </si>
  <si>
    <t>IT ile ilgili eğitimim veya iş tecrübem olduğu için, İngilizce çalışabilme imkanı olduğu için, Kendi mesleğini yapma imkanım olmadığını düşündüğüm için, Bu mesleği yapabileceğime inanıyorum</t>
  </si>
  <si>
    <t>3 yıllık bir IT geçmişim var. Javascript biliyorum ve fullstack web/mobil uygulama geliştirici olarak freelance çalışmalar yaptım. Ve Oak Academy bünyesinde cybersecurity kursu aldım. İngilizce seviyem işe girmek için yeterli değil. En büyük ihtiyacım, şu an için İngilizce’mi geliştirmek. Ardından kolayca işe girebilirim. Tekrar meslek eğitimi almayacağım.</t>
  </si>
  <si>
    <t>ATANMADI</t>
  </si>
  <si>
    <t>4.30.2023 12:41:56</t>
  </si>
  <si>
    <t>zeki duran</t>
  </si>
  <si>
    <t>kilinc1686@gmail.com</t>
  </si>
  <si>
    <t>9715EP</t>
  </si>
  <si>
    <t>Utrecht</t>
  </si>
  <si>
    <t>Kampta, oturum görüşmesi bekliyorum</t>
  </si>
  <si>
    <t>B2 ve üzeri</t>
  </si>
  <si>
    <t>Tester, Scrum Master, DevOps Engineer, Web Tasarım, Software Developer, Cyber Security</t>
  </si>
  <si>
    <t>Bu sektörde çok fazla eleman ihtiyacı olduğu için, IT ile ilgili eğitimim veya iş tecrübem olduğu için, İngilizce çalışabilme imkanı olduğu için, Kendi mesleğini yapma imkanım olmadığını düşündüğüm için, Bu mesleği yapabileceğime inanıyorum</t>
  </si>
  <si>
    <t>IT ye özel ilgim ve becerin olduğunu düşünüyorum.</t>
  </si>
  <si>
    <t>4.30.2023 14:38:18</t>
  </si>
  <si>
    <t>mustafa celik</t>
  </si>
  <si>
    <t>yamandogan@icloud.com</t>
  </si>
  <si>
    <t>2343xr</t>
  </si>
  <si>
    <t>Kampta, oturum aldım, belediyem belli , ev bekliyorum</t>
  </si>
  <si>
    <t>Full stack, desktop ve embedded deneyimim var.</t>
  </si>
  <si>
    <t>Diğer</t>
  </si>
  <si>
    <t>Kampta kalıyorum</t>
  </si>
  <si>
    <t>Şu anda bir IT (Bootcamp) kursuna devam ediyorum</t>
  </si>
  <si>
    <t>Tester, DevOps Engineer, Web Tasarım, Software Developer</t>
  </si>
  <si>
    <t>Kendi mesleğini yapma imkanım olmadığını düşündüğüm için, Bu mesleği yapabileceğime inanıyorum</t>
  </si>
  <si>
    <t>IT sektöründe çalışmak için 33 yaşımda TR' de Bilgisayar mühendisliğini kazandım ve 1 sene okudum. Halihazırda devam eden Claruswayin full stack developer kursum var. İnfotech academy de Tester bölüm koordinatörü ve Java Instructor olarak görev yaptım. İngilizcemi geliştirmek için Amsterdam üniversitesi right2Education kursundan A2/B1 kursu almaktayım. Dutch A1+ sertifikam mevcut. İstekliyim.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</si>
</sst>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10"/>
      <color rgb="FF060606"/>
      <name val="Arial"/>
    </font>
    <font>
      <b/>
      <sz val="10"/>
      <color rgb="FF000000"/>
      <name val="Arial"/>
    </font>
    <font>
      <sz val="10"/>
      <color rgb="FF000000"/>
      <name val="Arial"/>
    </font>
    <font>
      <sz val="10"/>
      <color theme="1"/>
      <name val="Arial"/>
    </font>
    <font>
      <sz val="10"/>
      <color rgb="FF060606"/>
      <name val="Arial"/>
    </font>
    <font>
      <u/>
      <sz val="10"/>
      <color rgb="FF1155CC"/>
      <name val="Arial"/>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5" fillId="0" borderId="0" xfId="0" applyFont="1"/>
    <xf numFmtId="0" fontId="3" fillId="0" borderId="0" xfId="0" applyFont="1" applyAlignment="1">
      <alignment horizontal="right"/>
    </xf>
    <xf numFmtId="0" fontId="4" fillId="0" borderId="0" xfId="0" applyFont="1" applyAlignment="1">
      <alignment horizontal="right"/>
    </xf>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7"/>
  <sheetViews>
    <sheetView tabSelected="1" workbookViewId="0">
      <pane ySplit="1" topLeftCell="A5" activePane="bottomLeft" state="frozen"/>
      <selection pane="bottomLeft" activeCell="A15" sqref="A10:XFD15"/>
    </sheetView>
  </sheetViews>
  <sheetFormatPr defaultColWidth="12.5703125" defaultRowHeight="15.75" customHeight="1" x14ac:dyDescent="0.2"/>
  <cols>
    <col min="1" max="1" width="18.5703125" customWidth="1"/>
    <col min="2" max="2" width="14.28515625" customWidth="1"/>
    <col min="3" max="3" width="26.28515625" customWidth="1"/>
    <col min="4" max="4" width="19.42578125" customWidth="1"/>
    <col min="5" max="5" width="15.5703125" customWidth="1"/>
    <col min="6" max="6" width="21.42578125" customWidth="1"/>
    <col min="7" max="7" width="51.42578125" customWidth="1"/>
    <col min="8" max="8" width="83.42578125" customWidth="1"/>
    <col min="9" max="9" width="37.7109375" customWidth="1"/>
    <col min="10" max="10" width="41.85546875" customWidth="1"/>
    <col min="11" max="11" width="28.42578125" customWidth="1"/>
    <col min="12" max="12" width="30.7109375" customWidth="1"/>
    <col min="13" max="13" width="48.5703125" customWidth="1"/>
    <col min="14" max="14" width="51.140625" customWidth="1"/>
    <col min="15" max="15" width="60" customWidth="1"/>
    <col min="16" max="16" width="41" customWidth="1"/>
    <col min="17" max="17" width="74.7109375" customWidth="1"/>
    <col min="18" max="18" width="68.5703125" customWidth="1"/>
    <col min="19" max="19" width="258" customWidth="1"/>
    <col min="20" max="20" width="739.85546875" customWidth="1"/>
    <col min="21" max="21" width="28.42578125" customWidth="1"/>
    <col min="22" max="22" width="13.42578125" customWidth="1"/>
    <col min="23" max="23" width="16.42578125" customWidth="1"/>
  </cols>
  <sheetData>
    <row r="1" spans="1:29" ht="15.75" customHeight="1" x14ac:dyDescent="0.2">
      <c r="A1" s="1" t="s">
        <v>0</v>
      </c>
      <c r="B1" s="1" t="s">
        <v>1</v>
      </c>
      <c r="C1" s="2" t="s">
        <v>2</v>
      </c>
      <c r="D1" s="2" t="s">
        <v>3</v>
      </c>
      <c r="E1" s="2" t="s">
        <v>4</v>
      </c>
      <c r="F1" s="2" t="s">
        <v>5</v>
      </c>
      <c r="G1" s="1" t="s">
        <v>6</v>
      </c>
      <c r="H1" s="1" t="s">
        <v>7</v>
      </c>
      <c r="I1" s="1" t="s">
        <v>8</v>
      </c>
      <c r="J1" s="1" t="s">
        <v>9</v>
      </c>
      <c r="K1" s="1" t="s">
        <v>10</v>
      </c>
      <c r="L1" s="1" t="s">
        <v>11</v>
      </c>
      <c r="M1" s="1" t="s">
        <v>12</v>
      </c>
      <c r="N1" s="1" t="s">
        <v>13</v>
      </c>
      <c r="O1" s="1" t="s">
        <v>14</v>
      </c>
      <c r="P1" s="1" t="s">
        <v>15</v>
      </c>
      <c r="Q1" s="1" t="s">
        <v>16</v>
      </c>
      <c r="R1" s="1" t="s">
        <v>17</v>
      </c>
      <c r="S1" s="2" t="s">
        <v>18</v>
      </c>
      <c r="T1" s="2" t="s">
        <v>19</v>
      </c>
      <c r="U1" s="3" t="s">
        <v>20</v>
      </c>
      <c r="V1" s="3" t="s">
        <v>21</v>
      </c>
      <c r="W1" s="3" t="s">
        <v>22</v>
      </c>
      <c r="X1" s="3"/>
      <c r="Y1" s="3"/>
      <c r="Z1" s="3"/>
      <c r="AA1" s="3"/>
      <c r="AB1" s="4"/>
      <c r="AC1" s="4"/>
    </row>
    <row r="2" spans="1:29" ht="15.75" customHeight="1" x14ac:dyDescent="0.2">
      <c r="A2" s="5" t="s">
        <v>23</v>
      </c>
      <c r="B2" s="3" t="s">
        <v>24</v>
      </c>
      <c r="C2" s="3" t="s">
        <v>25</v>
      </c>
      <c r="D2" s="3">
        <f t="shared" ref="D2:D3" si="0">31684995800</f>
        <v>31684995800</v>
      </c>
      <c r="E2" s="3" t="s">
        <v>26</v>
      </c>
      <c r="F2" s="3" t="s">
        <v>27</v>
      </c>
      <c r="G2" s="6" t="s">
        <v>28</v>
      </c>
      <c r="H2" s="3" t="s">
        <v>29</v>
      </c>
      <c r="I2" s="3" t="s">
        <v>30</v>
      </c>
      <c r="J2" s="3" t="s">
        <v>31</v>
      </c>
      <c r="K2" s="3" t="s">
        <v>32</v>
      </c>
      <c r="L2" s="3" t="s">
        <v>32</v>
      </c>
      <c r="M2" s="3" t="s">
        <v>33</v>
      </c>
      <c r="N2" s="3" t="s">
        <v>34</v>
      </c>
      <c r="O2" s="3" t="s">
        <v>34</v>
      </c>
      <c r="P2" s="3" t="s">
        <v>31</v>
      </c>
      <c r="Q2" s="3" t="s">
        <v>34</v>
      </c>
      <c r="R2" s="3" t="s">
        <v>35</v>
      </c>
      <c r="S2" s="3" t="s">
        <v>36</v>
      </c>
      <c r="T2" s="3" t="s">
        <v>37</v>
      </c>
      <c r="U2" s="3" t="s">
        <v>38</v>
      </c>
      <c r="V2" s="7" t="s">
        <v>39</v>
      </c>
      <c r="W2" s="7"/>
      <c r="X2" s="7">
        <v>22</v>
      </c>
      <c r="Y2" s="7">
        <v>33</v>
      </c>
      <c r="Z2" s="7">
        <v>45</v>
      </c>
      <c r="AA2" s="3" t="s">
        <v>40</v>
      </c>
    </row>
    <row r="3" spans="1:29" ht="15.75" customHeight="1" x14ac:dyDescent="0.2">
      <c r="A3" s="7" t="s">
        <v>23</v>
      </c>
      <c r="B3" s="3" t="s">
        <v>24</v>
      </c>
      <c r="C3" s="3" t="s">
        <v>25</v>
      </c>
      <c r="D3" s="3">
        <f t="shared" si="0"/>
        <v>31684995800</v>
      </c>
      <c r="E3" s="3" t="s">
        <v>26</v>
      </c>
      <c r="F3" s="3" t="s">
        <v>27</v>
      </c>
      <c r="G3" s="3" t="s">
        <v>28</v>
      </c>
      <c r="H3" s="3" t="s">
        <v>29</v>
      </c>
      <c r="I3" s="3" t="s">
        <v>30</v>
      </c>
      <c r="J3" s="3" t="s">
        <v>31</v>
      </c>
      <c r="K3" s="3" t="s">
        <v>32</v>
      </c>
      <c r="L3" s="3" t="s">
        <v>32</v>
      </c>
      <c r="M3" s="3" t="s">
        <v>33</v>
      </c>
      <c r="N3" s="3" t="s">
        <v>34</v>
      </c>
      <c r="O3" s="3" t="s">
        <v>34</v>
      </c>
      <c r="P3" s="3" t="s">
        <v>31</v>
      </c>
      <c r="Q3" s="3" t="s">
        <v>34</v>
      </c>
      <c r="R3" s="3" t="s">
        <v>35</v>
      </c>
      <c r="S3" s="3" t="s">
        <v>36</v>
      </c>
      <c r="T3" s="3" t="s">
        <v>37</v>
      </c>
      <c r="U3" s="3" t="s">
        <v>38</v>
      </c>
      <c r="V3" s="7" t="s">
        <v>39</v>
      </c>
      <c r="W3" s="7"/>
      <c r="X3" s="7">
        <v>22</v>
      </c>
      <c r="Y3" s="7">
        <v>33</v>
      </c>
      <c r="Z3" s="7">
        <v>45</v>
      </c>
      <c r="AA3" s="3" t="s">
        <v>40</v>
      </c>
    </row>
    <row r="4" spans="1:29" ht="15.75" customHeight="1" x14ac:dyDescent="0.2">
      <c r="A4" s="7" t="s">
        <v>41</v>
      </c>
      <c r="B4" s="3" t="s">
        <v>42</v>
      </c>
      <c r="C4" s="3" t="s">
        <v>43</v>
      </c>
      <c r="D4" s="3">
        <v>687522681</v>
      </c>
      <c r="E4" s="3" t="s">
        <v>44</v>
      </c>
      <c r="F4" s="3" t="s">
        <v>27</v>
      </c>
      <c r="G4" s="3" t="s">
        <v>28</v>
      </c>
      <c r="H4" s="3" t="s">
        <v>45</v>
      </c>
      <c r="I4" s="3" t="s">
        <v>30</v>
      </c>
      <c r="J4" s="3" t="s">
        <v>31</v>
      </c>
      <c r="K4" s="3" t="s">
        <v>46</v>
      </c>
      <c r="L4" s="3" t="s">
        <v>46</v>
      </c>
      <c r="M4" s="3" t="s">
        <v>47</v>
      </c>
      <c r="N4" s="3" t="s">
        <v>34</v>
      </c>
      <c r="O4" s="3" t="s">
        <v>34</v>
      </c>
      <c r="P4" s="3" t="s">
        <v>34</v>
      </c>
      <c r="Q4" s="3" t="s">
        <v>34</v>
      </c>
      <c r="R4" s="3" t="s">
        <v>48</v>
      </c>
      <c r="S4" s="3" t="s">
        <v>49</v>
      </c>
      <c r="T4" s="3" t="s">
        <v>50</v>
      </c>
      <c r="U4" s="3" t="s">
        <v>38</v>
      </c>
      <c r="V4" s="7" t="s">
        <v>39</v>
      </c>
      <c r="W4" s="7"/>
      <c r="X4" s="7">
        <v>22</v>
      </c>
      <c r="Y4" s="7">
        <v>4</v>
      </c>
      <c r="Z4" s="7">
        <v>17</v>
      </c>
      <c r="AA4" s="3" t="s">
        <v>40</v>
      </c>
    </row>
    <row r="5" spans="1:29" ht="15.75" customHeight="1" x14ac:dyDescent="0.2">
      <c r="A5" s="7" t="s">
        <v>41</v>
      </c>
      <c r="B5" s="3" t="s">
        <v>42</v>
      </c>
      <c r="C5" s="3" t="s">
        <v>43</v>
      </c>
      <c r="D5" s="3">
        <v>687522681</v>
      </c>
      <c r="E5" s="3" t="s">
        <v>44</v>
      </c>
      <c r="F5" s="3" t="s">
        <v>27</v>
      </c>
      <c r="G5" s="3" t="s">
        <v>28</v>
      </c>
      <c r="H5" s="3" t="s">
        <v>45</v>
      </c>
      <c r="I5" s="3" t="s">
        <v>30</v>
      </c>
      <c r="J5" s="3" t="s">
        <v>31</v>
      </c>
      <c r="K5" s="3" t="s">
        <v>46</v>
      </c>
      <c r="L5" s="3" t="s">
        <v>46</v>
      </c>
      <c r="M5" s="3" t="s">
        <v>47</v>
      </c>
      <c r="N5" s="3" t="s">
        <v>34</v>
      </c>
      <c r="O5" s="3" t="s">
        <v>34</v>
      </c>
      <c r="P5" s="3" t="s">
        <v>34</v>
      </c>
      <c r="Q5" s="3" t="s">
        <v>34</v>
      </c>
      <c r="R5" s="3" t="s">
        <v>48</v>
      </c>
      <c r="S5" s="3" t="s">
        <v>49</v>
      </c>
      <c r="T5" s="3" t="s">
        <v>50</v>
      </c>
      <c r="U5" s="3" t="s">
        <v>38</v>
      </c>
      <c r="V5" s="7" t="s">
        <v>39</v>
      </c>
      <c r="W5" s="7"/>
      <c r="X5" s="7">
        <v>22</v>
      </c>
      <c r="Y5" s="7">
        <v>4</v>
      </c>
      <c r="Z5" s="7">
        <v>17</v>
      </c>
      <c r="AA5" s="3" t="s">
        <v>40</v>
      </c>
    </row>
    <row r="6" spans="1:29" ht="15.75" customHeight="1" x14ac:dyDescent="0.2">
      <c r="A6" s="7" t="s">
        <v>51</v>
      </c>
      <c r="B6" s="3" t="s">
        <v>52</v>
      </c>
      <c r="C6" s="3" t="s">
        <v>53</v>
      </c>
      <c r="D6" s="3">
        <f>31685478785</f>
        <v>31685478785</v>
      </c>
      <c r="E6" s="3" t="s">
        <v>54</v>
      </c>
      <c r="F6" s="3" t="s">
        <v>55</v>
      </c>
      <c r="G6" s="3" t="s">
        <v>28</v>
      </c>
      <c r="H6" s="3" t="s">
        <v>56</v>
      </c>
      <c r="I6" s="3" t="s">
        <v>30</v>
      </c>
      <c r="J6" s="3" t="s">
        <v>34</v>
      </c>
      <c r="K6" s="3" t="s">
        <v>57</v>
      </c>
      <c r="L6" s="3" t="s">
        <v>32</v>
      </c>
      <c r="M6" s="3" t="s">
        <v>34</v>
      </c>
      <c r="N6" s="3" t="s">
        <v>58</v>
      </c>
      <c r="O6" s="3" t="s">
        <v>34</v>
      </c>
      <c r="P6" s="3" t="s">
        <v>34</v>
      </c>
      <c r="Q6" s="3" t="s">
        <v>34</v>
      </c>
      <c r="R6" s="3" t="s">
        <v>59</v>
      </c>
      <c r="S6" s="3" t="s">
        <v>60</v>
      </c>
      <c r="T6" s="3" t="s">
        <v>61</v>
      </c>
      <c r="U6" s="3" t="s">
        <v>38</v>
      </c>
      <c r="V6" s="7" t="s">
        <v>39</v>
      </c>
      <c r="W6" s="7"/>
      <c r="X6" s="7">
        <v>22</v>
      </c>
      <c r="Y6" s="7">
        <v>55</v>
      </c>
      <c r="Z6" s="7">
        <v>70</v>
      </c>
      <c r="AA6" s="3" t="s">
        <v>40</v>
      </c>
    </row>
    <row r="7" spans="1:29" ht="15.75" customHeight="1" x14ac:dyDescent="0.2">
      <c r="A7" s="7" t="s">
        <v>62</v>
      </c>
      <c r="B7" s="3" t="s">
        <v>63</v>
      </c>
      <c r="C7" s="3" t="s">
        <v>64</v>
      </c>
      <c r="D7" s="3">
        <v>610404574</v>
      </c>
      <c r="E7" s="3" t="s">
        <v>65</v>
      </c>
      <c r="F7" s="3" t="s">
        <v>55</v>
      </c>
      <c r="G7" s="3" t="s">
        <v>28</v>
      </c>
      <c r="H7" s="3" t="s">
        <v>56</v>
      </c>
      <c r="I7" s="3" t="s">
        <v>30</v>
      </c>
      <c r="J7" s="3" t="s">
        <v>31</v>
      </c>
      <c r="K7" s="3" t="s">
        <v>46</v>
      </c>
      <c r="L7" s="3" t="s">
        <v>57</v>
      </c>
      <c r="M7" s="3" t="s">
        <v>34</v>
      </c>
      <c r="N7" s="3" t="s">
        <v>31</v>
      </c>
      <c r="O7" s="3" t="s">
        <v>31</v>
      </c>
      <c r="P7" s="3" t="s">
        <v>31</v>
      </c>
      <c r="Q7" s="3" t="s">
        <v>34</v>
      </c>
      <c r="R7" s="3" t="s">
        <v>66</v>
      </c>
      <c r="S7" s="3" t="s">
        <v>67</v>
      </c>
      <c r="T7" s="3" t="s">
        <v>68</v>
      </c>
      <c r="U7" s="3" t="s">
        <v>69</v>
      </c>
      <c r="V7" s="7" t="s">
        <v>39</v>
      </c>
      <c r="W7" s="7"/>
      <c r="X7" s="7">
        <v>22</v>
      </c>
      <c r="Y7" s="7">
        <v>2</v>
      </c>
      <c r="Z7" s="7">
        <v>18</v>
      </c>
      <c r="AA7" s="3" t="s">
        <v>40</v>
      </c>
    </row>
    <row r="8" spans="1:29" ht="15.75" customHeight="1" x14ac:dyDescent="0.2">
      <c r="A8" s="7" t="s">
        <v>70</v>
      </c>
      <c r="B8" s="3" t="s">
        <v>71</v>
      </c>
      <c r="C8" s="3" t="s">
        <v>72</v>
      </c>
      <c r="D8" s="3">
        <v>639293042</v>
      </c>
      <c r="E8" s="3" t="s">
        <v>73</v>
      </c>
      <c r="F8" s="3" t="s">
        <v>74</v>
      </c>
      <c r="G8" s="6" t="s">
        <v>75</v>
      </c>
      <c r="H8" s="3" t="s">
        <v>56</v>
      </c>
      <c r="I8" s="3" t="s">
        <v>30</v>
      </c>
      <c r="J8" s="3" t="s">
        <v>34</v>
      </c>
      <c r="K8" s="3" t="s">
        <v>76</v>
      </c>
      <c r="L8" s="3" t="s">
        <v>57</v>
      </c>
      <c r="M8" s="3" t="s">
        <v>34</v>
      </c>
      <c r="N8" s="3" t="s">
        <v>31</v>
      </c>
      <c r="O8" s="3" t="s">
        <v>34</v>
      </c>
      <c r="P8" s="3" t="s">
        <v>31</v>
      </c>
      <c r="Q8" s="3" t="s">
        <v>34</v>
      </c>
      <c r="R8" s="3" t="s">
        <v>77</v>
      </c>
      <c r="S8" s="3" t="s">
        <v>78</v>
      </c>
      <c r="T8" s="3" t="s">
        <v>79</v>
      </c>
      <c r="U8" s="3" t="s">
        <v>69</v>
      </c>
      <c r="V8" s="7" t="s">
        <v>39</v>
      </c>
      <c r="W8" s="7"/>
      <c r="X8" s="7">
        <v>222</v>
      </c>
      <c r="Y8" s="7">
        <v>55</v>
      </c>
      <c r="Z8" s="7">
        <v>77</v>
      </c>
      <c r="AA8" s="3" t="s">
        <v>40</v>
      </c>
    </row>
    <row r="9" spans="1:29" ht="15.75" customHeight="1" x14ac:dyDescent="0.2">
      <c r="A9" s="7" t="s">
        <v>80</v>
      </c>
      <c r="B9" s="3" t="s">
        <v>81</v>
      </c>
      <c r="C9" s="3" t="s">
        <v>82</v>
      </c>
      <c r="D9" s="3">
        <v>685070759</v>
      </c>
      <c r="E9" s="3" t="s">
        <v>83</v>
      </c>
      <c r="F9" s="3" t="s">
        <v>55</v>
      </c>
      <c r="G9" s="3" t="s">
        <v>84</v>
      </c>
      <c r="H9" s="3" t="s">
        <v>85</v>
      </c>
      <c r="I9" s="3" t="s">
        <v>86</v>
      </c>
      <c r="J9" s="3" t="s">
        <v>31</v>
      </c>
      <c r="K9" s="3" t="s">
        <v>32</v>
      </c>
      <c r="L9" s="3" t="s">
        <v>57</v>
      </c>
      <c r="M9" s="3" t="s">
        <v>87</v>
      </c>
      <c r="N9" s="3" t="s">
        <v>88</v>
      </c>
      <c r="O9" s="3" t="s">
        <v>31</v>
      </c>
      <c r="P9" s="3" t="s">
        <v>34</v>
      </c>
      <c r="Q9" s="3" t="s">
        <v>34</v>
      </c>
      <c r="R9" s="3" t="s">
        <v>89</v>
      </c>
      <c r="S9" s="3" t="s">
        <v>90</v>
      </c>
      <c r="T9" s="3" t="s">
        <v>91</v>
      </c>
      <c r="U9" s="3" t="s">
        <v>69</v>
      </c>
      <c r="V9" s="7" t="s">
        <v>39</v>
      </c>
      <c r="W9" s="3"/>
      <c r="X9" s="3"/>
      <c r="Y9" s="3"/>
      <c r="Z9" s="3"/>
      <c r="AA9" s="3"/>
    </row>
    <row r="10" spans="1:29" ht="15.75" customHeight="1" x14ac:dyDescent="0.2">
      <c r="A10" s="7"/>
      <c r="B10" s="3"/>
      <c r="C10" s="3"/>
      <c r="D10" s="3"/>
      <c r="E10" s="3"/>
      <c r="F10" s="3"/>
      <c r="G10" s="3"/>
      <c r="H10" s="3"/>
      <c r="I10" s="3"/>
      <c r="J10" s="3"/>
      <c r="K10" s="3"/>
      <c r="L10" s="3"/>
      <c r="M10" s="3"/>
      <c r="N10" s="3"/>
      <c r="O10" s="3"/>
      <c r="P10" s="3"/>
      <c r="Q10" s="3"/>
      <c r="R10" s="3"/>
      <c r="S10" s="3"/>
      <c r="T10" s="3"/>
      <c r="U10" s="3"/>
      <c r="V10" s="7"/>
      <c r="W10" s="3"/>
      <c r="X10" s="3"/>
      <c r="Y10" s="3"/>
      <c r="Z10" s="3"/>
      <c r="AA10" s="3"/>
    </row>
    <row r="11" spans="1:29" ht="15.75" customHeight="1" x14ac:dyDescent="0.2">
      <c r="A11" s="7"/>
      <c r="B11" s="3"/>
      <c r="C11" s="3"/>
      <c r="D11" s="3"/>
      <c r="E11" s="3"/>
      <c r="F11" s="3"/>
      <c r="G11" s="3"/>
      <c r="H11" s="3"/>
      <c r="I11" s="3"/>
      <c r="J11" s="3"/>
      <c r="K11" s="3"/>
      <c r="L11" s="3"/>
      <c r="M11" s="3"/>
      <c r="N11" s="3"/>
      <c r="O11" s="3"/>
      <c r="P11" s="3"/>
      <c r="Q11" s="3"/>
      <c r="R11" s="3"/>
      <c r="S11" s="3"/>
      <c r="T11" s="3"/>
      <c r="U11" s="3"/>
      <c r="V11" s="7"/>
      <c r="W11" s="3"/>
      <c r="X11" s="3"/>
      <c r="Y11" s="3"/>
      <c r="Z11" s="3"/>
      <c r="AA11" s="3"/>
    </row>
    <row r="12" spans="1:29" ht="15.75" customHeight="1" x14ac:dyDescent="0.2">
      <c r="A12" s="7"/>
      <c r="B12" s="3"/>
      <c r="C12" s="3"/>
      <c r="D12" s="3"/>
      <c r="E12" s="3"/>
      <c r="F12" s="3"/>
      <c r="G12" s="3"/>
      <c r="H12" s="3"/>
      <c r="I12" s="3"/>
      <c r="J12" s="3"/>
      <c r="K12" s="3"/>
      <c r="L12" s="3"/>
      <c r="M12" s="3"/>
      <c r="N12" s="3"/>
      <c r="O12" s="3"/>
      <c r="P12" s="3"/>
      <c r="Q12" s="3"/>
      <c r="R12" s="3"/>
      <c r="S12" s="3"/>
      <c r="T12" s="3"/>
      <c r="U12" s="3"/>
      <c r="V12" s="7"/>
      <c r="W12" s="3"/>
      <c r="X12" s="3"/>
      <c r="Y12" s="3"/>
      <c r="Z12" s="3"/>
      <c r="AA12" s="3"/>
    </row>
    <row r="13" spans="1:29" ht="15.75" customHeight="1" x14ac:dyDescent="0.2">
      <c r="A13" s="7"/>
      <c r="B13" s="3"/>
      <c r="C13" s="3"/>
      <c r="D13" s="3"/>
      <c r="E13" s="3"/>
      <c r="F13" s="3"/>
      <c r="G13" s="3"/>
      <c r="H13" s="3"/>
      <c r="I13" s="3"/>
      <c r="J13" s="3"/>
      <c r="K13" s="3"/>
      <c r="L13" s="3"/>
      <c r="M13" s="3"/>
      <c r="N13" s="3"/>
      <c r="O13" s="3"/>
      <c r="P13" s="3"/>
      <c r="Q13" s="3"/>
      <c r="R13" s="3"/>
      <c r="S13" s="3"/>
      <c r="T13" s="3"/>
      <c r="U13" s="3"/>
      <c r="V13" s="7"/>
      <c r="W13" s="3"/>
      <c r="X13" s="3"/>
      <c r="Y13" s="3"/>
      <c r="Z13" s="3"/>
      <c r="AA13" s="3"/>
    </row>
    <row r="14" spans="1:29" ht="15.75" customHeight="1" x14ac:dyDescent="0.2">
      <c r="A14" s="8"/>
      <c r="B14" s="4"/>
      <c r="C14" s="9"/>
      <c r="D14" s="8"/>
      <c r="E14" s="4"/>
      <c r="F14" s="4"/>
      <c r="G14" s="4"/>
      <c r="H14" s="4"/>
      <c r="I14" s="4"/>
      <c r="J14" s="4"/>
      <c r="K14" s="4"/>
      <c r="L14" s="4"/>
      <c r="M14" s="4"/>
      <c r="N14" s="4"/>
      <c r="O14" s="4"/>
      <c r="P14" s="4"/>
      <c r="Q14" s="4"/>
      <c r="R14" s="4"/>
      <c r="S14" s="4"/>
      <c r="T14" s="4"/>
      <c r="U14" s="4"/>
      <c r="V14" s="7"/>
      <c r="W14" s="4"/>
      <c r="X14" s="4"/>
      <c r="Y14" s="4"/>
      <c r="Z14" s="4"/>
      <c r="AA14" s="4"/>
      <c r="AB14" s="4"/>
      <c r="AC14" s="4"/>
    </row>
    <row r="15" spans="1:29" ht="15.75" customHeight="1" x14ac:dyDescent="0.2">
      <c r="A15" s="7"/>
      <c r="B15" s="3"/>
      <c r="C15" s="3"/>
      <c r="D15" s="3"/>
      <c r="E15" s="3"/>
      <c r="F15" s="3"/>
      <c r="G15" s="3"/>
      <c r="H15" s="3"/>
      <c r="I15" s="3"/>
      <c r="J15" s="3"/>
      <c r="K15" s="3"/>
      <c r="L15" s="3"/>
      <c r="M15" s="3"/>
      <c r="N15" s="3"/>
      <c r="O15" s="3"/>
      <c r="P15" s="3"/>
      <c r="Q15" s="3"/>
      <c r="R15" s="3"/>
      <c r="S15" s="3"/>
      <c r="T15" s="3"/>
      <c r="U15" s="3"/>
      <c r="V15" s="7"/>
      <c r="W15" s="3"/>
      <c r="X15" s="3"/>
      <c r="Y15" s="3"/>
      <c r="Z15" s="3"/>
      <c r="AA15" s="3"/>
    </row>
    <row r="16" spans="1:29" ht="15.75" customHeight="1" x14ac:dyDescent="0.2">
      <c r="E16" s="4"/>
    </row>
    <row r="17" spans="5:5" ht="15.75" customHeight="1" x14ac:dyDescent="0.2">
      <c r="E17"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1</vt:i4>
      </vt:variant>
    </vt:vector>
  </HeadingPairs>
  <TitlesOfParts>
    <vt:vector size="1" baseType="lpstr">
      <vt:lpstr>Sayfa1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İbrahim ÖZ</cp:lastModifiedBy>
  <dcterms:modified xsi:type="dcterms:W3CDTF">2025-11-03T18:47:18Z</dcterms:modified>
</cp:coreProperties>
</file>